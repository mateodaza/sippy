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CHITO\LINA\"/>
    </mc:Choice>
  </mc:AlternateContent>
  <xr:revisionPtr revIDLastSave="0" documentId="13_ncr:1_{998FF352-57D1-48AC-9585-247B99591750}" xr6:coauthVersionLast="47" xr6:coauthVersionMax="47" xr10:uidLastSave="{00000000-0000-0000-0000-000000000000}"/>
  <bookViews>
    <workbookView xWindow="-120" yWindow="-120" windowWidth="29040" windowHeight="15840" xr2:uid="{E703D6DA-F625-4777-9A30-160E7D7741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C27" i="1"/>
</calcChain>
</file>

<file path=xl/sharedStrings.xml><?xml version="1.0" encoding="utf-8"?>
<sst xmlns="http://schemas.openxmlformats.org/spreadsheetml/2006/main" count="38" uniqueCount="38">
  <si>
    <t>Categoría</t>
  </si>
  <si>
    <t>Concepto</t>
  </si>
  <si>
    <t>Monto USD</t>
  </si>
  <si>
    <t>Constitución societaria</t>
  </si>
  <si>
    <t>Constitución holding Panamá</t>
  </si>
  <si>
    <t>Constitución ES</t>
  </si>
  <si>
    <t>Constitución sociedad (honorarios)</t>
  </si>
  <si>
    <t>Gastos notariales y registros</t>
  </si>
  <si>
    <t>Capital social mínimo (5%)</t>
  </si>
  <si>
    <t>Licenciamiento ES</t>
  </si>
  <si>
    <t>Licencia PSAD (CNAD) – honorarios</t>
  </si>
  <si>
    <t>Gastos legales CNAD</t>
  </si>
  <si>
    <t>Tarifa gubernamental CNAD (15 SM)</t>
  </si>
  <si>
    <t>Licencia PSB (BCR)</t>
  </si>
  <si>
    <t>Compliance</t>
  </si>
  <si>
    <t>Programa AML completo (manuales, KYC/KYT, capacitación, UIF)</t>
  </si>
  <si>
    <t>Contabilidad ES (año 1)</t>
  </si>
  <si>
    <t>Contabilidad (12 meses)</t>
  </si>
  <si>
    <t>Domicilio fiscal (12 meses)</t>
  </si>
  <si>
    <t>Apoderado país (12 meses)</t>
  </si>
  <si>
    <t>Mantenimiento ES</t>
  </si>
  <si>
    <t>Auditoría y cierre fiscal</t>
  </si>
  <si>
    <t>Renovación matrícula comercio</t>
  </si>
  <si>
    <t>Fee registro comercio</t>
  </si>
  <si>
    <t>Renovación licencia CNAD</t>
  </si>
  <si>
    <t>Honorarios ICHS</t>
  </si>
  <si>
    <t>Estructuración legal estratégica (ajustada)</t>
  </si>
  <si>
    <t>Tech structuring</t>
  </si>
  <si>
    <t>Infraestructura técnica (hosting, monitoring, APIs)</t>
  </si>
  <si>
    <t>Deployment prep, security review, docs</t>
  </si>
  <si>
    <t>Personal técnico</t>
  </si>
  <si>
    <t>Mateo + Carlos (~150h)</t>
  </si>
  <si>
    <t>Mateo + Carlos + Noah (~130h)</t>
  </si>
  <si>
    <t>Contingencias</t>
  </si>
  <si>
    <t>Contingencia M1</t>
  </si>
  <si>
    <t>Contingencia M2</t>
  </si>
  <si>
    <t>TOTAL GENERAL</t>
  </si>
  <si>
    <t>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</si>
</sst>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394D7C-47E2-490A-A840-0B9AFC7DAD74}" name="Tabla2" displayName="Tabla2" ref="A3:C27" totalsRowShown="0" headerRowDxfId="4" dataDxfId="3">
  <autoFilter ref="A3:C27" xr:uid="{98394D7C-47E2-490A-A840-0B9AFC7DAD74}"/>
  <tableColumns count="3">
    <tableColumn id="1" xr3:uid="{7ADE054F-825C-429D-85BA-2AC213BFC1D9}" name="Categoría" dataDxfId="2"/>
    <tableColumn id="2" xr3:uid="{C4754D5B-2466-4972-A6EB-3645B4ED77A9}" name="Concepto" dataDxfId="1"/>
    <tableColumn id="3" xr3:uid="{21D837C5-FB4C-46CA-B894-4A6068C90A15}" name="Monto US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6EC205-88ED-4263-8B92-1F8E944EF582}" name="Tabla3" displayName="Tabla3" ref="D3:D28" totalsRowShown="0">
  <autoFilter ref="D3:D28" xr:uid="{016EC205-88ED-4263-8B92-1F8E944EF582}"/>
  <tableColumns count="1">
    <tableColumn id="1" xr3:uid="{272BAACB-2E7A-4191-BD5B-B4A1C73F61EF}" name="Gr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F237-2F13-4DB2-90DA-FE9C33E7EC8A}">
  <dimension ref="A3:D27"/>
  <sheetViews>
    <sheetView tabSelected="1" topLeftCell="A13" workbookViewId="0">
      <selection activeCell="J16" sqref="J16"/>
    </sheetView>
  </sheetViews>
  <sheetFormatPr baseColWidth="10" defaultRowHeight="15" x14ac:dyDescent="0.25"/>
  <cols>
    <col min="1" max="1" width="16.7109375" customWidth="1"/>
    <col min="2" max="2" width="16.85546875" customWidth="1"/>
    <col min="3" max="3" width="17.7109375" customWidth="1"/>
    <col min="4" max="4" width="2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37</v>
      </c>
    </row>
    <row r="4" spans="1:4" ht="30" x14ac:dyDescent="0.25">
      <c r="A4" s="2" t="s">
        <v>3</v>
      </c>
      <c r="B4" s="2" t="s">
        <v>4</v>
      </c>
      <c r="C4" s="2">
        <v>500</v>
      </c>
    </row>
    <row r="5" spans="1:4" ht="45" x14ac:dyDescent="0.25">
      <c r="A5" s="2" t="s">
        <v>5</v>
      </c>
      <c r="B5" s="2" t="s">
        <v>6</v>
      </c>
      <c r="C5" s="2">
        <v>800</v>
      </c>
      <c r="D5" s="2">
        <v>800</v>
      </c>
    </row>
    <row r="6" spans="1:4" ht="30" x14ac:dyDescent="0.25">
      <c r="A6" s="2"/>
      <c r="B6" s="2" t="s">
        <v>7</v>
      </c>
      <c r="C6" s="2">
        <v>400</v>
      </c>
      <c r="D6" s="2">
        <v>400</v>
      </c>
    </row>
    <row r="7" spans="1:4" ht="30" x14ac:dyDescent="0.25">
      <c r="A7" s="2"/>
      <c r="B7" s="2" t="s">
        <v>8</v>
      </c>
      <c r="C7" s="2">
        <v>100</v>
      </c>
      <c r="D7" s="2">
        <v>100</v>
      </c>
    </row>
    <row r="8" spans="1:4" ht="45" x14ac:dyDescent="0.25">
      <c r="A8" s="2" t="s">
        <v>9</v>
      </c>
      <c r="B8" s="2" t="s">
        <v>10</v>
      </c>
      <c r="C8" s="2">
        <v>7000</v>
      </c>
      <c r="D8" s="2">
        <v>7000</v>
      </c>
    </row>
    <row r="9" spans="1:4" ht="30" x14ac:dyDescent="0.25">
      <c r="A9" s="2"/>
      <c r="B9" s="2" t="s">
        <v>11</v>
      </c>
      <c r="C9" s="2">
        <v>550</v>
      </c>
      <c r="D9" s="2">
        <v>550</v>
      </c>
    </row>
    <row r="10" spans="1:4" ht="45" x14ac:dyDescent="0.25">
      <c r="A10" s="2"/>
      <c r="B10" s="2" t="s">
        <v>12</v>
      </c>
      <c r="C10" s="2">
        <v>6300</v>
      </c>
      <c r="D10" s="2">
        <v>6300</v>
      </c>
    </row>
    <row r="11" spans="1:4" ht="30" x14ac:dyDescent="0.25">
      <c r="A11" s="2"/>
      <c r="B11" s="2" t="s">
        <v>13</v>
      </c>
      <c r="C11" s="2">
        <v>1600</v>
      </c>
      <c r="D11" s="2">
        <v>1600</v>
      </c>
    </row>
    <row r="12" spans="1:4" ht="75" x14ac:dyDescent="0.25">
      <c r="A12" s="2" t="s">
        <v>14</v>
      </c>
      <c r="B12" s="2" t="s">
        <v>15</v>
      </c>
      <c r="C12" s="2">
        <v>1500</v>
      </c>
      <c r="D12" s="2">
        <v>1500</v>
      </c>
    </row>
    <row r="13" spans="1:4" ht="39" customHeight="1" x14ac:dyDescent="0.25">
      <c r="A13" s="2" t="s">
        <v>16</v>
      </c>
      <c r="B13" s="2" t="s">
        <v>17</v>
      </c>
      <c r="C13" s="2">
        <v>1000</v>
      </c>
    </row>
    <row r="14" spans="1:4" ht="30" x14ac:dyDescent="0.25">
      <c r="A14" s="2"/>
      <c r="B14" s="2" t="s">
        <v>18</v>
      </c>
      <c r="C14" s="2">
        <v>500</v>
      </c>
    </row>
    <row r="15" spans="1:4" ht="30" x14ac:dyDescent="0.25">
      <c r="A15" s="2"/>
      <c r="B15" s="2" t="s">
        <v>19</v>
      </c>
      <c r="C15" s="2">
        <v>500</v>
      </c>
    </row>
    <row r="16" spans="1:4" ht="30" x14ac:dyDescent="0.25">
      <c r="A16" s="2" t="s">
        <v>20</v>
      </c>
      <c r="B16" s="2" t="s">
        <v>21</v>
      </c>
      <c r="C16" s="2">
        <v>800</v>
      </c>
    </row>
    <row r="17" spans="1:4" ht="45" x14ac:dyDescent="0.25">
      <c r="A17" s="2"/>
      <c r="B17" s="2" t="s">
        <v>22</v>
      </c>
      <c r="C17" s="2">
        <v>100</v>
      </c>
    </row>
    <row r="18" spans="1:4" ht="30" x14ac:dyDescent="0.25">
      <c r="A18" s="2"/>
      <c r="B18" s="2" t="s">
        <v>23</v>
      </c>
      <c r="C18" s="2">
        <v>125</v>
      </c>
    </row>
    <row r="19" spans="1:4" ht="30" x14ac:dyDescent="0.25">
      <c r="A19" s="2"/>
      <c r="B19" s="2" t="s">
        <v>24</v>
      </c>
      <c r="C19" s="2">
        <v>4100</v>
      </c>
    </row>
    <row r="20" spans="1:4" ht="45" x14ac:dyDescent="0.25">
      <c r="A20" s="2" t="s">
        <v>25</v>
      </c>
      <c r="B20" s="2" t="s">
        <v>26</v>
      </c>
      <c r="C20" s="2">
        <v>8000</v>
      </c>
      <c r="D20">
        <v>3500</v>
      </c>
    </row>
    <row r="21" spans="1:4" ht="45" x14ac:dyDescent="0.25">
      <c r="A21" s="2" t="s">
        <v>27</v>
      </c>
      <c r="B21" s="2" t="s">
        <v>28</v>
      </c>
      <c r="C21" s="2">
        <v>1500</v>
      </c>
    </row>
    <row r="22" spans="1:4" ht="45" x14ac:dyDescent="0.25">
      <c r="A22" s="2"/>
      <c r="B22" s="2" t="s">
        <v>29</v>
      </c>
      <c r="C22" s="2">
        <v>500</v>
      </c>
    </row>
    <row r="23" spans="1:4" ht="30" x14ac:dyDescent="0.25">
      <c r="A23" s="2" t="s">
        <v>30</v>
      </c>
      <c r="B23" s="2" t="s">
        <v>31</v>
      </c>
      <c r="C23" s="2">
        <v>7500</v>
      </c>
      <c r="D23">
        <v>3000</v>
      </c>
    </row>
    <row r="24" spans="1:4" ht="30" x14ac:dyDescent="0.25">
      <c r="A24" s="2"/>
      <c r="B24" s="2" t="s">
        <v>32</v>
      </c>
      <c r="C24" s="2">
        <v>5000</v>
      </c>
    </row>
    <row r="25" spans="1:4" x14ac:dyDescent="0.25">
      <c r="A25" s="2" t="s">
        <v>33</v>
      </c>
      <c r="B25" s="2" t="s">
        <v>34</v>
      </c>
      <c r="C25" s="2">
        <v>500</v>
      </c>
      <c r="D25">
        <v>250</v>
      </c>
    </row>
    <row r="26" spans="1:4" x14ac:dyDescent="0.25">
      <c r="A26" s="2"/>
      <c r="B26" s="2" t="s">
        <v>35</v>
      </c>
      <c r="C26" s="2">
        <v>1500</v>
      </c>
    </row>
    <row r="27" spans="1:4" x14ac:dyDescent="0.25">
      <c r="A27" s="2"/>
      <c r="B27" s="3" t="s">
        <v>36</v>
      </c>
      <c r="C27" s="3">
        <f>SUM(C4:C26)</f>
        <v>50375</v>
      </c>
      <c r="D27" s="4">
        <f>SUM(D4:D26)</f>
        <v>25000</v>
      </c>
    </row>
  </sheetData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Janus</cp:lastModifiedBy>
  <dcterms:created xsi:type="dcterms:W3CDTF">2026-01-29T03:51:09Z</dcterms:created>
  <dcterms:modified xsi:type="dcterms:W3CDTF">2026-01-29T04:17:26Z</dcterms:modified>
</cp:coreProperties>
</file>